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Archives\Planilhas - VBA\"/>
    </mc:Choice>
  </mc:AlternateContent>
  <bookViews>
    <workbookView xWindow="2400" yWindow="1470" windowWidth="14670" windowHeight="8325"/>
  </bookViews>
  <sheets>
    <sheet name="Cadastro" sheetId="1" r:id="rId1"/>
    <sheet name="Dashboard" sheetId="4" r:id="rId2"/>
    <sheet name="2013" sheetId="2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16" i="2"/>
  <c r="G7" i="1" l="1"/>
  <c r="I7" i="1" s="1"/>
  <c r="G8" i="1"/>
  <c r="I8" i="1" s="1"/>
  <c r="G9" i="1"/>
  <c r="I9" i="1" s="1"/>
  <c r="G10" i="1"/>
  <c r="I10" i="1" s="1"/>
  <c r="G11" i="1"/>
  <c r="I11" i="1" s="1"/>
  <c r="J8" i="1" l="1"/>
  <c r="K8" i="1"/>
  <c r="J11" i="1"/>
  <c r="K11" i="1"/>
  <c r="J7" i="1"/>
  <c r="K7" i="1"/>
  <c r="J10" i="1"/>
  <c r="K10" i="1"/>
  <c r="J9" i="1"/>
  <c r="K9" i="1"/>
  <c r="H11" i="1"/>
  <c r="H10" i="1"/>
  <c r="H8" i="1"/>
  <c r="H9" i="1"/>
  <c r="H7" i="1"/>
  <c r="G6" i="1"/>
  <c r="I6" i="1" s="1"/>
  <c r="H6" i="1"/>
  <c r="G5" i="1"/>
  <c r="J6" i="1" l="1"/>
  <c r="K6" i="1"/>
  <c r="C3" i="4"/>
  <c r="D3" i="4" l="1"/>
  <c r="H5" i="1" s="1"/>
  <c r="I5" i="1"/>
  <c r="K5" i="1" l="1"/>
  <c r="J5" i="1"/>
</calcChain>
</file>

<file path=xl/sharedStrings.xml><?xml version="1.0" encoding="utf-8"?>
<sst xmlns="http://schemas.openxmlformats.org/spreadsheetml/2006/main" count="16" uniqueCount="15">
  <si>
    <t>#</t>
  </si>
  <si>
    <t>Hostname</t>
  </si>
  <si>
    <t>MAC</t>
  </si>
  <si>
    <t>Data De intalação</t>
  </si>
  <si>
    <t>Limite</t>
  </si>
  <si>
    <t>Office 2013</t>
  </si>
  <si>
    <t>Atual</t>
  </si>
  <si>
    <t>Office 2016</t>
  </si>
  <si>
    <t>Version</t>
  </si>
  <si>
    <t>Using</t>
  </si>
  <si>
    <t>Remnant</t>
  </si>
  <si>
    <t>Total</t>
  </si>
  <si>
    <t>Percent Of Using</t>
  </si>
  <si>
    <t>Actual amount</t>
  </si>
  <si>
    <t>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</si>
</sst>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0" fontId="1" fillId="0" borderId="0" xfId="0" applyFont="1" applyBorder="1" applyAlignment="1"/>
    <xf numFmtId="0" fontId="0" fillId="0" borderId="0" xfId="0" applyBorder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Keys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Actual 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Dashboard!$B$3:$B$9</c:f>
              <c:strCache>
                <c:ptCount val="2"/>
                <c:pt idx="0">
                  <c:v>Office 2013</c:v>
                </c:pt>
                <c:pt idx="1">
                  <c:v>Office 2016</c:v>
                </c:pt>
              </c:strCache>
            </c:strRef>
          </c:cat>
          <c:val>
            <c:numRef>
              <c:f>Dashboard!$C$3:$C$9</c:f>
              <c:numCache>
                <c:formatCode>General</c:formatCode>
                <c:ptCount val="7"/>
                <c:pt idx="0">
                  <c:v>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5-448B-A6EC-60148559F6A2}"/>
            </c:ext>
          </c:extLst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Remnant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Dashboard!$B$3:$B$9</c:f>
              <c:strCache>
                <c:ptCount val="2"/>
                <c:pt idx="0">
                  <c:v>Office 2013</c:v>
                </c:pt>
                <c:pt idx="1">
                  <c:v>Office 2016</c:v>
                </c:pt>
              </c:strCache>
            </c:strRef>
          </c:cat>
          <c:val>
            <c:numRef>
              <c:f>Dashboard!$D$3:$D$9</c:f>
              <c:numCache>
                <c:formatCode>General</c:formatCode>
                <c:ptCount val="7"/>
                <c:pt idx="0">
                  <c:v>300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45-448B-A6EC-60148559F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3762184"/>
        <c:axId val="613761200"/>
      </c:barChart>
      <c:catAx>
        <c:axId val="61376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3761200"/>
        <c:crosses val="autoZero"/>
        <c:auto val="1"/>
        <c:lblAlgn val="ctr"/>
        <c:lblOffset val="100"/>
        <c:noMultiLvlLbl val="0"/>
      </c:catAx>
      <c:valAx>
        <c:axId val="61376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376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0</xdr:row>
      <xdr:rowOff>152400</xdr:rowOff>
    </xdr:from>
    <xdr:to>
      <xdr:col>11</xdr:col>
      <xdr:colOff>152399</xdr:colOff>
      <xdr:row>2</xdr:row>
      <xdr:rowOff>47625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81349" y="152400"/>
          <a:ext cx="4200525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Resume from</a:t>
          </a:r>
          <a:r>
            <a:rPr lang="en-US" sz="1100" baseline="0"/>
            <a:t> 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161925</xdr:rowOff>
        </xdr:from>
        <xdr:to>
          <xdr:col>3</xdr:col>
          <xdr:colOff>514350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142874</xdr:colOff>
      <xdr:row>0</xdr:row>
      <xdr:rowOff>161925</xdr:rowOff>
    </xdr:from>
    <xdr:to>
      <xdr:col>4</xdr:col>
      <xdr:colOff>180975</xdr:colOff>
      <xdr:row>2</xdr:row>
      <xdr:rowOff>57150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2874" y="161925"/>
          <a:ext cx="2133601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Macros and VBA</a:t>
          </a:r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38101</xdr:colOff>
      <xdr:row>1</xdr:row>
      <xdr:rowOff>38100</xdr:rowOff>
    </xdr:from>
    <xdr:to>
      <xdr:col>18</xdr:col>
      <xdr:colOff>9525</xdr:colOff>
      <xdr:row>24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rgb="FFFF0000"/>
  </sheetPr>
  <dimension ref="B1:K19"/>
  <sheetViews>
    <sheetView showGridLines="0" tabSelected="1" workbookViewId="0">
      <selection activeCell="E6" sqref="E6"/>
    </sheetView>
  </sheetViews>
  <sheetFormatPr defaultRowHeight="15" x14ac:dyDescent="0.25"/>
  <cols>
    <col min="1" max="1" width="4" customWidth="1"/>
    <col min="7" max="7" width="15.42578125" customWidth="1"/>
    <col min="11" max="11" width="15.85546875" bestFit="1" customWidth="1"/>
  </cols>
  <sheetData>
    <row r="1" spans="2:11" x14ac:dyDescent="0.25">
      <c r="C1" s="6"/>
      <c r="D1" s="6"/>
      <c r="E1" s="6"/>
    </row>
    <row r="2" spans="2:11" x14ac:dyDescent="0.25">
      <c r="C2" s="6"/>
      <c r="D2" s="6"/>
      <c r="E2" s="6"/>
    </row>
    <row r="3" spans="2:11" x14ac:dyDescent="0.25">
      <c r="C3" s="6"/>
      <c r="D3" s="6"/>
      <c r="E3" s="6"/>
    </row>
    <row r="4" spans="2:11" x14ac:dyDescent="0.25">
      <c r="B4" s="18"/>
      <c r="C4" s="18"/>
      <c r="D4" s="18"/>
      <c r="E4" s="6"/>
      <c r="G4" s="8" t="s">
        <v>8</v>
      </c>
      <c r="H4" s="8" t="s">
        <v>11</v>
      </c>
      <c r="I4" s="8" t="s">
        <v>9</v>
      </c>
      <c r="J4" s="8" t="s">
        <v>10</v>
      </c>
      <c r="K4" s="13" t="s">
        <v>12</v>
      </c>
    </row>
    <row r="5" spans="2:11" x14ac:dyDescent="0.25">
      <c r="B5" s="18"/>
      <c r="C5" s="18"/>
      <c r="D5" s="18"/>
      <c r="E5" s="6"/>
      <c r="G5" s="8" t="str">
        <f>IF(Dashboard!B3&lt;&gt;0,Dashboard!B3,"")</f>
        <v>Office 2013</v>
      </c>
      <c r="H5" s="8">
        <f>IF(G5&lt;&gt;"",Dashboard!D3+Dashboard!C3,"")</f>
        <v>300</v>
      </c>
      <c r="I5" s="8">
        <f>IF(G5&lt;&gt;"",Dashboard!C3,"")</f>
        <v>0</v>
      </c>
      <c r="J5" s="8">
        <f>IF(I5&lt;&gt;"",Dashboard!D3,"")</f>
        <v>300</v>
      </c>
      <c r="K5" s="15">
        <f>IF(I5&lt;&gt;"",(I5*100/H5),"")</f>
        <v>0</v>
      </c>
    </row>
    <row r="6" spans="2:11" x14ac:dyDescent="0.25">
      <c r="B6" s="18"/>
      <c r="C6" s="18"/>
      <c r="D6" s="18"/>
      <c r="F6" s="1"/>
      <c r="G6" s="8" t="str">
        <f>IF(Dashboard!B4&lt;&gt;0,Dashboard!B4,"")</f>
        <v>Office 2016</v>
      </c>
      <c r="H6" s="8">
        <f>IF(G6&lt;&gt;"",Dashboard!D4+Dashboard!C4,"")</f>
        <v>230</v>
      </c>
      <c r="I6" s="8">
        <f>IF(G6&lt;&gt;"",Dashboard!C4,"")</f>
        <v>30</v>
      </c>
      <c r="J6" s="8">
        <f>IF(I6&lt;&gt;"",Dashboard!D4,"")</f>
        <v>200</v>
      </c>
      <c r="K6" s="15">
        <f t="shared" ref="K6:K11" si="0">IF(I6&lt;&gt;"",(I6*100/H6),"")</f>
        <v>13.043478260869565</v>
      </c>
    </row>
    <row r="7" spans="2:11" x14ac:dyDescent="0.25">
      <c r="B7" s="18"/>
      <c r="C7" s="18"/>
      <c r="D7" s="18"/>
      <c r="G7" s="8" t="str">
        <f>IF(Dashboard!B5&lt;&gt;0,Dashboard!B5,"")</f>
        <v/>
      </c>
      <c r="H7" s="8" t="str">
        <f>IF(G7&lt;&gt;"",Dashboard!D5+Dashboard!C5,"")</f>
        <v/>
      </c>
      <c r="I7" s="8" t="str">
        <f>IF(G7&lt;&gt;"",Dashboard!C5,"")</f>
        <v/>
      </c>
      <c r="J7" s="8" t="str">
        <f>IF(I7&lt;&gt;"",Dashboard!D5,"")</f>
        <v/>
      </c>
      <c r="K7" s="15" t="str">
        <f t="shared" si="0"/>
        <v/>
      </c>
    </row>
    <row r="8" spans="2:11" x14ac:dyDescent="0.25">
      <c r="B8" s="18"/>
      <c r="C8" s="18"/>
      <c r="D8" s="18"/>
      <c r="E8" s="2"/>
      <c r="G8" s="8" t="str">
        <f>IF(Dashboard!B6&lt;&gt;0,Dashboard!B6,"")</f>
        <v/>
      </c>
      <c r="H8" s="8" t="str">
        <f>IF(G8&lt;&gt;"",Dashboard!D6+Dashboard!C6,"")</f>
        <v/>
      </c>
      <c r="I8" s="8" t="str">
        <f>IF(G8&lt;&gt;"",Dashboard!C6,"")</f>
        <v/>
      </c>
      <c r="J8" s="8" t="str">
        <f>IF(I8&lt;&gt;"",Dashboard!D6,"")</f>
        <v/>
      </c>
      <c r="K8" s="15" t="str">
        <f t="shared" si="0"/>
        <v/>
      </c>
    </row>
    <row r="9" spans="2:11" x14ac:dyDescent="0.25">
      <c r="B9" s="18"/>
      <c r="C9" s="18"/>
      <c r="D9" s="18"/>
      <c r="G9" s="8" t="str">
        <f>IF(Dashboard!B7&lt;&gt;0,Dashboard!B7,"")</f>
        <v/>
      </c>
      <c r="H9" s="8" t="str">
        <f>IF(G9&lt;&gt;"",Dashboard!D7+Dashboard!C7,"")</f>
        <v/>
      </c>
      <c r="I9" s="8" t="str">
        <f>IF(G9&lt;&gt;"",Dashboard!C7,"")</f>
        <v/>
      </c>
      <c r="J9" s="8" t="str">
        <f>IF(I9&lt;&gt;"",Dashboard!D7,"")</f>
        <v/>
      </c>
      <c r="K9" s="15" t="str">
        <f t="shared" si="0"/>
        <v/>
      </c>
    </row>
    <row r="10" spans="2:11" x14ac:dyDescent="0.25">
      <c r="B10" s="16"/>
      <c r="C10" s="16"/>
      <c r="D10" s="16"/>
      <c r="G10" s="8" t="str">
        <f>IF(Dashboard!B8&lt;&gt;0,Dashboard!B8,"")</f>
        <v/>
      </c>
      <c r="H10" s="8" t="str">
        <f>IF(G10&lt;&gt;"",Dashboard!D8+Dashboard!C8,"")</f>
        <v/>
      </c>
      <c r="I10" s="8" t="str">
        <f>IF(G10&lt;&gt;"",Dashboard!C8,"")</f>
        <v/>
      </c>
      <c r="J10" s="8" t="str">
        <f>IF(I10&lt;&gt;"",Dashboard!D8,"")</f>
        <v/>
      </c>
      <c r="K10" s="15" t="str">
        <f t="shared" si="0"/>
        <v/>
      </c>
    </row>
    <row r="11" spans="2:11" x14ac:dyDescent="0.25">
      <c r="B11" s="17"/>
      <c r="C11" s="17"/>
      <c r="D11" s="17"/>
      <c r="F11" s="2"/>
      <c r="G11" s="8" t="str">
        <f>IF(Dashboard!B9&lt;&gt;0,Dashboard!B9,"")</f>
        <v/>
      </c>
      <c r="H11" s="8" t="str">
        <f>IF(G11&lt;&gt;"",Dashboard!D9+Dashboard!C9,"")</f>
        <v/>
      </c>
      <c r="I11" s="8" t="str">
        <f>IF(G11&lt;&gt;"",Dashboard!C9,"")</f>
        <v/>
      </c>
      <c r="J11" s="8" t="str">
        <f>IF(I11&lt;&gt;"",Dashboard!D9,"")</f>
        <v/>
      </c>
      <c r="K11" s="15" t="str">
        <f t="shared" si="0"/>
        <v/>
      </c>
    </row>
    <row r="16" spans="2:11" x14ac:dyDescent="0.25">
      <c r="G16" s="7"/>
      <c r="H16" s="7"/>
      <c r="I16" s="7"/>
      <c r="J16" s="7"/>
    </row>
    <row r="17" spans="7:10" x14ac:dyDescent="0.25">
      <c r="G17" s="7"/>
      <c r="H17" s="7"/>
      <c r="I17" s="7"/>
      <c r="J17" s="7"/>
    </row>
    <row r="18" spans="7:10" x14ac:dyDescent="0.25">
      <c r="G18" s="7"/>
      <c r="H18" s="7"/>
      <c r="I18" s="7"/>
      <c r="J18" s="7"/>
    </row>
    <row r="19" spans="7:10" x14ac:dyDescent="0.25">
      <c r="G19" s="7"/>
      <c r="H19" s="7"/>
      <c r="I19" s="7"/>
      <c r="J19" s="7"/>
    </row>
  </sheetData>
  <mergeCells count="1">
    <mergeCell ref="B4:D9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 moveWithCells="1">
                  <from>
                    <xdr:col>1</xdr:col>
                    <xdr:colOff>95250</xdr:colOff>
                    <xdr:row>3</xdr:row>
                    <xdr:rowOff>161925</xdr:rowOff>
                  </from>
                  <to>
                    <xdr:col>3</xdr:col>
                    <xdr:colOff>514350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FF0000"/>
  </sheetPr>
  <dimension ref="A1:D9"/>
  <sheetViews>
    <sheetView zoomScaleNormal="100" workbookViewId="0">
      <selection activeCell="C13" sqref="C13"/>
    </sheetView>
  </sheetViews>
  <sheetFormatPr defaultRowHeight="15" x14ac:dyDescent="0.25"/>
  <cols>
    <col min="1" max="1" width="3.42578125" customWidth="1"/>
    <col min="2" max="2" width="15.140625" customWidth="1"/>
    <col min="3" max="3" width="16.7109375" bestFit="1" customWidth="1"/>
  </cols>
  <sheetData>
    <row r="1" spans="1:4" x14ac:dyDescent="0.25">
      <c r="A1" s="1"/>
    </row>
    <row r="2" spans="1:4" x14ac:dyDescent="0.25">
      <c r="B2" s="8" t="s">
        <v>14</v>
      </c>
      <c r="C2" s="8" t="s">
        <v>13</v>
      </c>
      <c r="D2" s="8" t="s">
        <v>10</v>
      </c>
    </row>
    <row r="3" spans="1:4" x14ac:dyDescent="0.25">
      <c r="B3" s="8" t="s">
        <v>5</v>
      </c>
      <c r="C3" s="8">
        <f>'2013'!D14</f>
        <v>0</v>
      </c>
      <c r="D3" s="8">
        <f>'2013'!B14-C3</f>
        <v>300</v>
      </c>
    </row>
    <row r="4" spans="1:4" x14ac:dyDescent="0.25">
      <c r="B4" s="8" t="s">
        <v>7</v>
      </c>
      <c r="C4" s="8">
        <v>30</v>
      </c>
      <c r="D4" s="8">
        <v>200</v>
      </c>
    </row>
    <row r="5" spans="1:4" x14ac:dyDescent="0.25">
      <c r="B5" s="14"/>
      <c r="C5" s="14"/>
      <c r="D5" s="14"/>
    </row>
    <row r="6" spans="1:4" x14ac:dyDescent="0.25">
      <c r="B6" s="14"/>
      <c r="C6" s="14"/>
      <c r="D6" s="14"/>
    </row>
    <row r="7" spans="1:4" x14ac:dyDescent="0.25">
      <c r="B7" s="14"/>
      <c r="C7" s="14"/>
      <c r="D7" s="14"/>
    </row>
    <row r="8" spans="1:4" x14ac:dyDescent="0.25">
      <c r="B8" s="14"/>
      <c r="C8" s="14"/>
      <c r="D8" s="14"/>
    </row>
    <row r="9" spans="1:4" x14ac:dyDescent="0.25">
      <c r="B9" s="14"/>
      <c r="C9" s="14"/>
      <c r="D9" s="14"/>
    </row>
  </sheetData>
  <phoneticPr fontId="3" type="noConversion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51"/>
  <sheetViews>
    <sheetView topLeftCell="A13" workbookViewId="0">
      <selection activeCell="C18" sqref="C18"/>
    </sheetView>
  </sheetViews>
  <sheetFormatPr defaultRowHeight="15" x14ac:dyDescent="0.25"/>
  <cols>
    <col min="1" max="1" width="9.140625" style="3"/>
    <col min="2" max="2" width="12.28515625" style="3" bestFit="1" customWidth="1"/>
    <col min="3" max="3" width="25.7109375" style="3" customWidth="1"/>
    <col min="4" max="4" width="16.42578125" style="3" bestFit="1" customWidth="1"/>
    <col min="5" max="16384" width="9.140625" style="3"/>
  </cols>
  <sheetData>
    <row r="1" spans="1:4" hidden="1" x14ac:dyDescent="0.25"/>
    <row r="2" spans="1:4" hidden="1" x14ac:dyDescent="0.25"/>
    <row r="3" spans="1:4" hidden="1" x14ac:dyDescent="0.25"/>
    <row r="4" spans="1:4" hidden="1" x14ac:dyDescent="0.25"/>
    <row r="5" spans="1:4" hidden="1" x14ac:dyDescent="0.25"/>
    <row r="6" spans="1:4" hidden="1" x14ac:dyDescent="0.25"/>
    <row r="7" spans="1:4" hidden="1" x14ac:dyDescent="0.25"/>
    <row r="8" spans="1:4" hidden="1" x14ac:dyDescent="0.25"/>
    <row r="9" spans="1:4" hidden="1" x14ac:dyDescent="0.25"/>
    <row r="10" spans="1:4" hidden="1" x14ac:dyDescent="0.25"/>
    <row r="11" spans="1:4" hidden="1" x14ac:dyDescent="0.25"/>
    <row r="12" spans="1:4" hidden="1" x14ac:dyDescent="0.25"/>
    <row r="13" spans="1:4" ht="16.5" customHeight="1" x14ac:dyDescent="0.25"/>
    <row r="14" spans="1:4" x14ac:dyDescent="0.25">
      <c r="A14" s="9" t="s">
        <v>4</v>
      </c>
      <c r="B14" s="9">
        <v>300</v>
      </c>
      <c r="C14" s="9" t="s">
        <v>6</v>
      </c>
      <c r="D14" s="11">
        <v>0</v>
      </c>
    </row>
    <row r="15" spans="1:4" x14ac:dyDescent="0.25">
      <c r="A15" s="10" t="s">
        <v>0</v>
      </c>
      <c r="B15" s="10" t="s">
        <v>1</v>
      </c>
      <c r="C15" s="10" t="s">
        <v>2</v>
      </c>
      <c r="D15" s="10" t="s">
        <v>3</v>
      </c>
    </row>
    <row r="16" spans="1:4" x14ac:dyDescent="0.25">
      <c r="A16" s="4">
        <f>ROW(A16)-15</f>
        <v>1</v>
      </c>
      <c r="B16" s="4"/>
      <c r="C16" s="4"/>
      <c r="D16" s="5"/>
    </row>
    <row r="17" spans="1:4" x14ac:dyDescent="0.25">
      <c r="A17" s="12">
        <f t="shared" ref="A17:A51" si="0">ROW(A17)-15</f>
        <v>2</v>
      </c>
      <c r="B17" s="4"/>
      <c r="C17" s="4"/>
      <c r="D17" s="5"/>
    </row>
    <row r="18" spans="1:4" x14ac:dyDescent="0.25">
      <c r="A18" s="12">
        <f t="shared" si="0"/>
        <v>3</v>
      </c>
      <c r="B18" s="4"/>
      <c r="C18" s="4"/>
      <c r="D18" s="5"/>
    </row>
    <row r="19" spans="1:4" x14ac:dyDescent="0.25">
      <c r="A19" s="12">
        <f t="shared" si="0"/>
        <v>4</v>
      </c>
      <c r="B19" s="4"/>
      <c r="C19" s="4"/>
      <c r="D19" s="5"/>
    </row>
    <row r="20" spans="1:4" x14ac:dyDescent="0.25">
      <c r="A20" s="12">
        <f t="shared" si="0"/>
        <v>5</v>
      </c>
      <c r="B20" s="4"/>
      <c r="C20" s="4"/>
      <c r="D20" s="5"/>
    </row>
    <row r="21" spans="1:4" x14ac:dyDescent="0.25">
      <c r="A21" s="12">
        <f t="shared" si="0"/>
        <v>6</v>
      </c>
      <c r="B21" s="4"/>
      <c r="C21" s="4"/>
      <c r="D21" s="5"/>
    </row>
    <row r="22" spans="1:4" x14ac:dyDescent="0.25">
      <c r="A22" s="12">
        <f t="shared" si="0"/>
        <v>7</v>
      </c>
      <c r="B22" s="4"/>
      <c r="C22" s="4"/>
      <c r="D22" s="4"/>
    </row>
    <row r="23" spans="1:4" x14ac:dyDescent="0.25">
      <c r="A23" s="12">
        <f t="shared" si="0"/>
        <v>8</v>
      </c>
      <c r="B23" s="4"/>
      <c r="C23" s="4"/>
      <c r="D23" s="5"/>
    </row>
    <row r="24" spans="1:4" x14ac:dyDescent="0.25">
      <c r="A24" s="12">
        <f t="shared" si="0"/>
        <v>9</v>
      </c>
      <c r="B24" s="4"/>
      <c r="C24" s="4"/>
      <c r="D24" s="5"/>
    </row>
    <row r="25" spans="1:4" x14ac:dyDescent="0.25">
      <c r="A25" s="12">
        <f t="shared" si="0"/>
        <v>10</v>
      </c>
      <c r="B25" s="4"/>
      <c r="C25" s="4"/>
      <c r="D25" s="5"/>
    </row>
    <row r="26" spans="1:4" x14ac:dyDescent="0.25">
      <c r="A26" s="12">
        <f t="shared" si="0"/>
        <v>11</v>
      </c>
      <c r="B26" s="4"/>
      <c r="C26" s="4"/>
      <c r="D26" s="5"/>
    </row>
    <row r="27" spans="1:4" x14ac:dyDescent="0.25">
      <c r="A27" s="12">
        <f t="shared" si="0"/>
        <v>12</v>
      </c>
      <c r="B27" s="4"/>
      <c r="C27" s="4"/>
      <c r="D27" s="5"/>
    </row>
    <row r="28" spans="1:4" x14ac:dyDescent="0.25">
      <c r="A28" s="12">
        <f t="shared" si="0"/>
        <v>13</v>
      </c>
      <c r="B28" s="4"/>
      <c r="C28" s="4"/>
      <c r="D28" s="5"/>
    </row>
    <row r="29" spans="1:4" x14ac:dyDescent="0.25">
      <c r="A29" s="12">
        <f t="shared" si="0"/>
        <v>14</v>
      </c>
      <c r="B29" s="4"/>
      <c r="C29" s="4"/>
      <c r="D29" s="5"/>
    </row>
    <row r="30" spans="1:4" x14ac:dyDescent="0.25">
      <c r="A30" s="12">
        <f t="shared" si="0"/>
        <v>15</v>
      </c>
      <c r="B30" s="4"/>
      <c r="C30" s="4"/>
      <c r="D30" s="5"/>
    </row>
    <row r="31" spans="1:4" x14ac:dyDescent="0.25">
      <c r="A31" s="12">
        <f t="shared" si="0"/>
        <v>16</v>
      </c>
      <c r="B31" s="4"/>
      <c r="C31" s="4"/>
      <c r="D31" s="5"/>
    </row>
    <row r="32" spans="1:4" x14ac:dyDescent="0.25">
      <c r="A32" s="12">
        <f t="shared" si="0"/>
        <v>17</v>
      </c>
      <c r="B32" s="4"/>
      <c r="C32" s="4"/>
      <c r="D32" s="4"/>
    </row>
    <row r="33" spans="1:4" x14ac:dyDescent="0.25">
      <c r="A33" s="12">
        <f t="shared" si="0"/>
        <v>18</v>
      </c>
      <c r="B33" s="4"/>
      <c r="C33" s="4"/>
      <c r="D33" s="4"/>
    </row>
    <row r="34" spans="1:4" x14ac:dyDescent="0.25">
      <c r="A34" s="12">
        <f t="shared" si="0"/>
        <v>19</v>
      </c>
      <c r="B34" s="4"/>
      <c r="C34" s="4"/>
      <c r="D34" s="4"/>
    </row>
    <row r="35" spans="1:4" x14ac:dyDescent="0.25">
      <c r="A35" s="12">
        <f t="shared" si="0"/>
        <v>20</v>
      </c>
      <c r="B35" s="4"/>
      <c r="C35" s="4"/>
      <c r="D35" s="4"/>
    </row>
    <row r="36" spans="1:4" x14ac:dyDescent="0.25">
      <c r="A36" s="12">
        <f t="shared" si="0"/>
        <v>21</v>
      </c>
      <c r="B36" s="4"/>
      <c r="C36" s="4"/>
      <c r="D36" s="4"/>
    </row>
    <row r="37" spans="1:4" x14ac:dyDescent="0.25">
      <c r="A37" s="12">
        <f t="shared" si="0"/>
        <v>22</v>
      </c>
      <c r="B37" s="4"/>
      <c r="C37" s="4"/>
      <c r="D37" s="4"/>
    </row>
    <row r="38" spans="1:4" x14ac:dyDescent="0.25">
      <c r="A38" s="12">
        <f t="shared" si="0"/>
        <v>23</v>
      </c>
      <c r="B38" s="4"/>
      <c r="C38" s="4"/>
      <c r="D38" s="4"/>
    </row>
    <row r="39" spans="1:4" x14ac:dyDescent="0.25">
      <c r="A39" s="12">
        <f t="shared" si="0"/>
        <v>24</v>
      </c>
      <c r="B39" s="4"/>
      <c r="C39" s="4"/>
      <c r="D39" s="4"/>
    </row>
    <row r="40" spans="1:4" x14ac:dyDescent="0.25">
      <c r="A40" s="12">
        <f t="shared" si="0"/>
        <v>25</v>
      </c>
      <c r="B40" s="4"/>
      <c r="C40" s="4"/>
      <c r="D40" s="4"/>
    </row>
    <row r="41" spans="1:4" x14ac:dyDescent="0.25">
      <c r="A41" s="12">
        <f t="shared" si="0"/>
        <v>26</v>
      </c>
      <c r="B41" s="4"/>
      <c r="C41" s="4"/>
      <c r="D41" s="4"/>
    </row>
    <row r="42" spans="1:4" x14ac:dyDescent="0.25">
      <c r="A42" s="12">
        <f t="shared" si="0"/>
        <v>27</v>
      </c>
      <c r="B42" s="4"/>
      <c r="C42" s="4"/>
      <c r="D42" s="4"/>
    </row>
    <row r="43" spans="1:4" x14ac:dyDescent="0.25">
      <c r="A43" s="12">
        <f t="shared" si="0"/>
        <v>28</v>
      </c>
      <c r="B43" s="4"/>
      <c r="C43" s="4"/>
      <c r="D43" s="4"/>
    </row>
    <row r="44" spans="1:4" x14ac:dyDescent="0.25">
      <c r="A44" s="12">
        <f t="shared" si="0"/>
        <v>29</v>
      </c>
      <c r="B44" s="4"/>
      <c r="C44" s="4"/>
      <c r="D44" s="4"/>
    </row>
    <row r="45" spans="1:4" x14ac:dyDescent="0.25">
      <c r="A45" s="12">
        <f t="shared" si="0"/>
        <v>30</v>
      </c>
      <c r="B45" s="4"/>
      <c r="C45" s="4"/>
      <c r="D45" s="4"/>
    </row>
    <row r="46" spans="1:4" x14ac:dyDescent="0.25">
      <c r="A46" s="12">
        <f t="shared" si="0"/>
        <v>31</v>
      </c>
      <c r="B46" s="4"/>
      <c r="C46" s="4"/>
      <c r="D46" s="4"/>
    </row>
    <row r="47" spans="1:4" x14ac:dyDescent="0.25">
      <c r="A47" s="12">
        <f t="shared" si="0"/>
        <v>32</v>
      </c>
      <c r="B47" s="4"/>
      <c r="C47" s="4"/>
      <c r="D47" s="4"/>
    </row>
    <row r="48" spans="1:4" x14ac:dyDescent="0.25">
      <c r="A48" s="12">
        <f t="shared" si="0"/>
        <v>33</v>
      </c>
      <c r="B48" s="4"/>
      <c r="C48" s="4"/>
      <c r="D48" s="4"/>
    </row>
    <row r="49" spans="1:4" x14ac:dyDescent="0.25">
      <c r="A49" s="12">
        <f t="shared" si="0"/>
        <v>34</v>
      </c>
      <c r="B49" s="4"/>
      <c r="C49" s="4"/>
      <c r="D49" s="4"/>
    </row>
    <row r="50" spans="1:4" x14ac:dyDescent="0.25">
      <c r="A50" s="12">
        <f t="shared" si="0"/>
        <v>35</v>
      </c>
      <c r="B50" s="4"/>
      <c r="C50" s="4"/>
      <c r="D50" s="4"/>
    </row>
    <row r="51" spans="1:4" x14ac:dyDescent="0.25">
      <c r="A51" s="12">
        <f t="shared" si="0"/>
        <v>36</v>
      </c>
      <c r="B51" s="4"/>
      <c r="C51" s="4"/>
      <c r="D51" s="4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Cadastro</vt:lpstr>
      <vt:lpstr>Dashboard</vt:lpstr>
      <vt:lpstr>2013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souza</dc:creator>
  <cp:lastModifiedBy>IFSP</cp:lastModifiedBy>
  <dcterms:created xsi:type="dcterms:W3CDTF">2020-03-06T20:57:33Z</dcterms:created>
  <dcterms:modified xsi:type="dcterms:W3CDTF">2020-03-10T22:24:11Z</dcterms:modified>
</cp:coreProperties>
</file>